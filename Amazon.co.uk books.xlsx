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" sheetId="1" r:id="rId5"/>
  </sheets>
  <definedNames/>
  <calcPr/>
</workbook>
</file>

<file path=xl/sharedStrings.xml><?xml version="1.0" encoding="utf-8"?>
<sst xmlns="http://schemas.openxmlformats.org/spreadsheetml/2006/main" count="200" uniqueCount="136">
  <si>
    <t>#</t>
  </si>
  <si>
    <t>Book Title</t>
  </si>
  <si>
    <t>Author</t>
  </si>
  <si>
    <t>ASIN/ISBN-13</t>
  </si>
  <si>
    <t>Book URL</t>
  </si>
  <si>
    <t>Airplane Activity Book For Kids Ages 8-12: Perfect For Travel Trips | Includes Mazes Word Searches, Sudoku, Crosswords And More!</t>
  </si>
  <si>
    <t>Activity Bandits</t>
  </si>
  <si>
    <t>B0D6XSWW89</t>
  </si>
  <si>
    <t>Football Activity Book For Kids: The Ultimate Football Themed Workbook For Kids Aged 4-8 | 6-12: The Perfect Football Gift For Football Mad Kids | ... Of Football Fun | Ideal For Travel Journeys</t>
  </si>
  <si>
    <t>B0B3RQRPSF</t>
  </si>
  <si>
    <t>Would You Rather Football Book For Kids Ages 6-12: Football Edition: 200 Hilarious And Mind-Bending Choices | Perfect Football Activity For Footie-Mad Kids!</t>
  </si>
  <si>
    <t>B0FD7NXD1J</t>
  </si>
  <si>
    <t>Gymnastics Activity Book For Girls: Fun Gymnast Workbook Includes Mazes, Word Searches, Coloring And MORE | Ideal For Ages 4, 5, 6, 7, 8</t>
  </si>
  <si>
    <t>B0D39FN337</t>
  </si>
  <si>
    <t>Puzzle Book For Smart Kids Ages 8-14: Perfect Activity Book For Clever Kids | Includes Sudoku Crosswords, Math Puzzles And More!: 70+ Puzzles To ... For Boys And Girls, Ages 8,9,10,11,12,13,14</t>
  </si>
  <si>
    <t>B0B6XS3PZ9</t>
  </si>
  <si>
    <t>Football Word Search Book For Kids: Perfect Football Activity Book Includes Players, Stadiums, Stats And MORE!</t>
  </si>
  <si>
    <t>B0FPFX56XX</t>
  </si>
  <si>
    <t>Airplane Activity Book For Kids Ages 4-8: A Fun Airplane Travel Activity Book | Perfect For Road Trips And Family Fun: Perfect Travel Gift With 60+ Activities For Boys And Girls Ages 45,6,7,8,9,10</t>
  </si>
  <si>
    <t>B09XLM4LDP</t>
  </si>
  <si>
    <t>Fashion Activity Book For Girls Aged 8-12: The Perfect Style And Design Fashion Workbook | Mazes Coloring Pages AND MORE: Ideal Gift For Fashion ... Fashion &amp; Style Fun | Ages 8, 9,10,11,12</t>
  </si>
  <si>
    <t>B0BCS7NJVZ</t>
  </si>
  <si>
    <t>Football Activity Book For Girls Aged 6-12: Includes Mazes Crosswords, Word Searches, Colouring AND MORE</t>
  </si>
  <si>
    <t>B0GQSMWN87</t>
  </si>
  <si>
    <t>Train Activity Book For Kids: A Fun Train Themed Coloring And Activity Book | Ideal For Travel Journeys And Family Fun: Includes Mazes Dot to Dot, ... Gift For Train Lovers | For Ages 3,4,5,6,7,8</t>
  </si>
  <si>
    <t>B0CKHTYYX6</t>
  </si>
  <si>
    <t>London Activity Book For Kids Ages 6-12: Perfect London Travel Trips | Includes Mazes Word Searches, Sudoku, Crosswords And More!</t>
  </si>
  <si>
    <t>B0DCZDBLNX</t>
  </si>
  <si>
    <t>Paris Activity Book For Kids: Ideal For Travel Journeys | Includes Mazes Crosswords, Word Searches Sudoku And More!</t>
  </si>
  <si>
    <t>B0F2824WBQ</t>
  </si>
  <si>
    <t>Shark Activity Book For Kids: The Ultimate Shark Themed Activities And Coloring Book | Perfect For Shark Fans: Includes Story Mazes Word Search, ... Tiger Sharks | Ideal For Ages 4,5,6,7,8,9,10</t>
  </si>
  <si>
    <t>B0CHLC1XR9</t>
  </si>
  <si>
    <t>Cricket Activity Book For Kids 6-8: The Perfect Cricket Themed Kids Workbook | Perfect For Travel Trips: The Ultimate Gift For Cricket Loving Kids | ... | Word Searches | Cricket Facts | AND More</t>
  </si>
  <si>
    <t>B09ZSD9CRC</t>
  </si>
  <si>
    <t>Army Activity Book For Kids: The Perfect Military Activity &amp; Coloring Book | Soldiers Mazes, Word Search Planes And More!: Over 50 Army Activities To Complete, Ideal For Ages 4,5,6,7,8,9,10, 11,12</t>
  </si>
  <si>
    <t>B0B7QDGZSN</t>
  </si>
  <si>
    <t>Football Activity Book For Kids Ages 9-12: Includes Mazes, Word Searches, Crosswords, Design Your Own Kit And MORE!</t>
  </si>
  <si>
    <t>B0GH6CMKGJ</t>
  </si>
  <si>
    <t>Football Boot Designer Colouring Book For Kids: Create Your Own Football Boots with Fun Colouring Pages for Young Footy Fans</t>
  </si>
  <si>
    <t>B0H4GJL7P6</t>
  </si>
  <si>
    <t>Pirate Activity Book For Kids: A Fun Filled Pirate Themed Coloring and Activity Workbook: Includes Mazes Dot to Dot, Word Searches And More! | Ideal ... Pirate Mad Kids| For Ages 4,5,6,7,8,9,10,11</t>
  </si>
  <si>
    <t>B0CRVH8W8J</t>
  </si>
  <si>
    <t>Cruise Activity Book For Kids: Perfect For Cruise Travel Trips | Includes Mazes Crosswords, Word Searches AND MORE!</t>
  </si>
  <si>
    <t>B0D8TMGR49</t>
  </si>
  <si>
    <t>Logic Puzzle Book For Kids Ages 8-12: Includes Math Logic Word Games, Crosswords And MORE!</t>
  </si>
  <si>
    <t>B0FLVR28X6</t>
  </si>
  <si>
    <t>Travel Puzzle Book For Kids: Ideal For Road Trips | Includes Mazes Word Searches, Sudoku, Crosswords And More</t>
  </si>
  <si>
    <t>B0CZHV6PKV</t>
  </si>
  <si>
    <t>Create Your Own Football Club: Design Your Stadium | Design Your Kit | Create Your Team | AND MORE!: Creative Football Activity Book For Kids | Ages ... | Perfect Gift For Football Mad Kids</t>
  </si>
  <si>
    <t>B0CSXXF1H8</t>
  </si>
  <si>
    <t>Monster Truck Activity Book: A Fun Monster Truck Themed Activity and Coloring Book For Kids: Includes Word Searches Dot To Dot, Crosswords, Mazes And More! | Ideal For Kids Ages 4,5,6,7,8,9,10,11,12</t>
  </si>
  <si>
    <t>B0CRHJS19J</t>
  </si>
  <si>
    <t>Tennis Activity Book For Kids: Tennis Workbook Including | Mazes | Word Searches | AND MORE: 60 Fun Tennis Themed Activities | Perfect For Ages 67,8,9,10,11,12</t>
  </si>
  <si>
    <t>B0BRLR3CSK</t>
  </si>
  <si>
    <t>Football Quiz Book For Boys Ages 9-12: Perfect For Football Mad Kids</t>
  </si>
  <si>
    <t>B0DJFJ6L4H</t>
  </si>
  <si>
    <t>Ancient Egypt Activity Book For Kids: Includes Mazes Word Searches, Puzzles, Crosswords, Facts AND MORE!</t>
  </si>
  <si>
    <t>B0FV95PW25</t>
  </si>
  <si>
    <t>Ballerina Activity Book For Kids Ages 4-8: Perfect Ballet Dancer Gift For Girls | Mazes | Word Search | Design Challenges AND MORE!: A Fun Kids Workbook| Perfect For Travel Journeys</t>
  </si>
  <si>
    <t>B0B13Q1W71</t>
  </si>
  <si>
    <t>Football Puzzle Book For Kids: Includes Mazes Word Searches, Sudoku Crosswords AND MORE</t>
  </si>
  <si>
    <t>B0CY3DX2KY</t>
  </si>
  <si>
    <t>Netball Activity Book For Kids: The Ultimate Netball Themed Workbook For Girls | Word Searches Mazes, Facts And More!: 50+ Activities | Ideal Gift ... | Perfect For Ages 6,7,8,9,10,11,12,13,14</t>
  </si>
  <si>
    <t>B0BLG2Q25L</t>
  </si>
  <si>
    <t>Rugby Activity Book For Kids: The Ultimate Rugby Themed Workbook For Boys And Girls Ages 67,8,9,10,11,12: The Perfect Rugby Gift For Rugby Mad Kids | ... Fun | Word Search, Colouring, Mazes And More</t>
  </si>
  <si>
    <t>B0BGBDWLCJ</t>
  </si>
  <si>
    <t>New York Activity Book For Kids: Perfect For Travel Trips | Includes Mazes Word Searches, Sudoku, Crosswords And More!</t>
  </si>
  <si>
    <t>B0DF5JP92H</t>
  </si>
  <si>
    <t>Football Crossword Book For Kids Ages 7-12: Perfect For Football Mad Kids</t>
  </si>
  <si>
    <t>B0DMLB5PDW</t>
  </si>
  <si>
    <t>Amazing Football Facts For Kids Ages 9-12: 200 Facts From Outrageous Stats To Legendary Players AND MORE!</t>
  </si>
  <si>
    <t>B0F6MMJ8WY</t>
  </si>
  <si>
    <t>Ninja Activity Book: Ninja Themed Activity And Coloring Book For Kids: Includes Mazes Word Searches Coloring Pages AND MORE | Over 50 Activities | For Ages 4,5,6,7,8,9,10</t>
  </si>
  <si>
    <t>B0CL6NFSFM</t>
  </si>
  <si>
    <t>Cheerleading Activity Book For Kids: The Perfect Cheerleader Themed Workbook For Girls | Word Search Mazes, And Coloring: 55+ Activities | Ideal For Any Cheerleading Fan | For Ages 6-14</t>
  </si>
  <si>
    <t>B0BN7PTFGL</t>
  </si>
  <si>
    <t>Camping Activity Book For Kids: Kids Activity Workbook With Camping Themed Activities | Word Search | Scavenger Hunt | Coloring And MORE!: 60+ Activities | The Perfect Camping Gift For Kids</t>
  </si>
  <si>
    <t>B0B3K59ZLJ</t>
  </si>
  <si>
    <t>Basketball Activity Book For Kids: The Ultimate Basketball Activity Book for Kids Aged 9-12: Perfect Gift For Any Basketball Fan | Themed Mazes | Coloring Pages | Fun Facts | Wordsearches And MORE!</t>
  </si>
  <si>
    <t>B09VWMZLRT</t>
  </si>
  <si>
    <t>Big Sister Activity Book: The Perfect Gift For 4-8 Years Olds Becoming A Big Sister | Mazes | Puzzles| Wordsearch | AND MORE!: The Ultimate Coloring ... Sisters | Endless Hours Of Fun And Challenges</t>
  </si>
  <si>
    <t>B09TZ6Y8G1</t>
  </si>
  <si>
    <t>Unicorn Mermaid And Princess Activity Book For Kids: A Cute Activity Book for Girls Ages 4-8 | Includes Coloring Pages, Mazes, Dot to Dot And More: ... Mermaid And Princess Themes| Hours Of Fun.</t>
  </si>
  <si>
    <t>B09XZMDXDH</t>
  </si>
  <si>
    <t>Golf Activity Book For Kids: The Ultimate Golf Themed Workbook For Kids Aged 4-8 | The Perfect Golf Gift For Golf Mad Kids: 60 Unique Golf Themed ... Perfect Golf Gift For Kids Ages 45,6,7,8</t>
  </si>
  <si>
    <t>B0B8RJQFMG</t>
  </si>
  <si>
    <t>Geography Activity Book For Kids: The Perfect Geography Workbook For Kids Ages 8-12 | Dot To Dot | Word Search | Mazes And More: The Ultimate Travel ... With Over 70 Fun Activities And Facts</t>
  </si>
  <si>
    <t>B0B1DRQ1D4</t>
  </si>
  <si>
    <t>Ocean Animals Activity Book For Kids: Includes Mazes Dot To Dot, Word Searches And MORE! | Ideal For Ages 4,5,6,7,8</t>
  </si>
  <si>
    <t>B0CVBMV6NL</t>
  </si>
  <si>
    <t>The Ultimate Pocket Size Word Search For Adults: Ideal Travel Size: 100 Travel Themed Word Searches | Perfect For Travel Enthusiasts</t>
  </si>
  <si>
    <t>B0CS6BWPL3</t>
  </si>
  <si>
    <t>Big Brother Activity Book: Fun Kids Workbook For Boys Who Are Going To Become A Big Brother | Perfect For Ages 2-6 6-8: 60 Fun Activity Pages | ... AND MORE! ( New Baby Sibling Kids Workbook)</t>
  </si>
  <si>
    <t>B0B2KDF9YV</t>
  </si>
  <si>
    <t>Baseball Activity Book For Kids: The Perfect Activity Book For Baseball Loving Kids | Ideal for Ages 4 And Up: Amazing Baseball Themed Activities | The Ultimate Baseball Gift For Boys And Girls</t>
  </si>
  <si>
    <t>B09TYSS7KC</t>
  </si>
  <si>
    <t>Guess The Football Player For Kids For Ages 6-12: Guess 100 Players | The Ideal Football Activity Book</t>
  </si>
  <si>
    <t>B0DTYLCQN6</t>
  </si>
  <si>
    <t>Road Trip Activity Book For Kids Ages 8-12: Perfect For Road Trips And Family Vacation Fun (Pocket Edition): 70 Fun Travel Activities For Boys And Girls Ages 89,10,11,12</t>
  </si>
  <si>
    <t>B0B5KQJN4H</t>
  </si>
  <si>
    <t>Boxing Activity Book For Kids: The Ultimate Boxing Themed Activity And Coloring Book | Perfect For Boxing Fans: Includes Mazes Word Search, Design ... | Perfect For Ages 5,6,7,8,9,10,11,12</t>
  </si>
  <si>
    <t>B0BS8N2MBZ</t>
  </si>
  <si>
    <t>Road Trip Activity Book For Kids Ages 8-12: Ideal For Travel Journeys | Includes Mazes Crosswords, Word Searches Sudoku And More!</t>
  </si>
  <si>
    <t>B0DNN6124Q</t>
  </si>
  <si>
    <t>Dinosaur Activity Book For Kids 3-5: Fun Dinosaur Coloring And Activity Book | Perfect For Toddlers: Includes Mazes Tracing, Dot to Dot, Word Search ... For Dinosaur Loving Kids | For Ages 3,4,5</t>
  </si>
  <si>
    <t>B0CP9HW1L9</t>
  </si>
  <si>
    <t>Zoo Activity Book For Kids: Perfect Zoo Themed Workbook For Ages 3-5: Includes Mazes Word Searches, Coloring Pages AND MORE! | Over 50 Activities | Perfect For Zoo Trips</t>
  </si>
  <si>
    <t>B0CGTSBJJX</t>
  </si>
  <si>
    <t>Ancient Egypt Activity Book For Kids: Ancient Egypt Themed Workbook | Includes Mazes Coloring, Word Search, Facts And More: 60+ Unique Ancient Egypt ... Ideal Gift For Kids Ages 4,5,6,7,8,9,10,11,12</t>
  </si>
  <si>
    <t>B0BF2TND7R</t>
  </si>
  <si>
    <t>Would You Rather Book For Kids Ages 8-12 | Road Trip Edition</t>
  </si>
  <si>
    <t>B0DKSZLBD5</t>
  </si>
  <si>
    <t>Crossword Puzzles For Kids 8-12: Fun And Educational Crossword Activity Book: Themed Crosswords With Images to Color | Perfect For All The Family</t>
  </si>
  <si>
    <t>B0CN67NJRX</t>
  </si>
  <si>
    <t>Scissor Skills Activity Book For Kids Aged 3-5: Fun Cutting Practice For Toddlers | Great To Improve Fine Motor Skills: Cut And Color Animals | Trucks | Dinosaurs And More!</t>
  </si>
  <si>
    <t>B09W1JG55G</t>
  </si>
  <si>
    <t>Dinosaur Dot Marker Activity Book For Kids: Guided Big Dot Marker Coloring Book | Perfect Gift For Toddlers And Preschoolers Ages 23,4,5</t>
  </si>
  <si>
    <t>B0CT5K9GDQ</t>
  </si>
  <si>
    <t>Ice Hockey Activity Book For Kids: The Ultimate Hockey Themed Activity And Coloring Book | Perfect For Ice Hockey Fans: Includes Story Mazes Word Search, Design Challenges AND MORE!</t>
  </si>
  <si>
    <t>B09Y5XFQ85</t>
  </si>
  <si>
    <t>Football Activity Book For Kids Aged 6-12: The Ultimate Football Activity Book For Football Loving Kids: Soccer Themed Activities for Boys And Girls | Endless Football Fun | In Colour</t>
  </si>
  <si>
    <t>B09TF6N581</t>
  </si>
  <si>
    <t>Trace And Color Book For Toddlers: The Perfect Way To Trace Color And Learn | Animals, ThingsThat Go | Shapes AND MORE!: 55+ Trace And Color Items | Perfect for Fine Motor Skills | Great Gift Idea</t>
  </si>
  <si>
    <t>B0B4QT9FVQ</t>
  </si>
  <si>
    <t>London Activity Book For Kids: A London Themed Christmas Activity Book | Perfect Gift For Christmas Travel Trips: Includes Story Mazes | Word Searches AND MORE | Perfect For Ages 45,6,7,8,9,10,11,12</t>
  </si>
  <si>
    <t>B0BB618YT4</t>
  </si>
  <si>
    <t>Football Activity Book For Kids: The Perfect Football Themed Workbook For Kids | Mazes Coloring, Sudoku AND MORE (American Football Activity Book): ... | Perfect For Journeys</t>
  </si>
  <si>
    <t>B0BJN5D53R</t>
  </si>
  <si>
    <t>Maze Activity Book For Kids: Includes Travel Space, Dinosaur Themed Mazes And MORE! | Ideal For Kids Ages 4,5,6,7,8,9,10,11,12</t>
  </si>
  <si>
    <t>B0D5MR9FFG</t>
  </si>
  <si>
    <t>Sudoku For Kids: Perfect For Ages 6-12 | Over 200 Puzzles From Easy Medium, Hard: Ideal For Road Trips And Family Fun</t>
  </si>
  <si>
    <t>B0CKXNZDXF</t>
  </si>
  <si>
    <t>Space Activity Book For Kids Ages 4-8 : The Ultimate Kids Space Workbook | Mazes Word Search, Planet Facts Coloring Pages AND MORE!: The Perfect ... For Space Loving Kids | Ages 4,5,6,7,8,9,10</t>
  </si>
  <si>
    <t>B09ZCWZZTS</t>
  </si>
  <si>
    <t>London Activity Book For Kids: A London Themed Fun Activity Book For Hours Of Fun: Perfect Gift For Travel Trips | Includes Story Mazes | Colouring ... AND MORE | Perfect For Ages 4-8 &amp; 5-11</t>
  </si>
  <si>
    <t>B09TN45HFH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</si>
</sst>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0"/>
    <col customWidth="1" min="5" max="5" width="67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2" t="s">
        <v>6</v>
      </c>
      <c r="D2" s="1" t="s">
        <v>7</v>
      </c>
      <c r="E2" s="3" t="str">
        <f>HYPERLINK("https://www.amazon.co.uk/Airplane-Activity-Book-Kids-Ages/dp/B0D6XSWW89")</f>
        <v>https://www.amazon.co.uk/Airplane-Activity-Book-Kids-Ages/dp/B0D6XSWW89</v>
      </c>
    </row>
    <row r="3">
      <c r="A3" s="1">
        <v>2.0</v>
      </c>
      <c r="B3" s="1" t="s">
        <v>8</v>
      </c>
      <c r="C3" s="2" t="s">
        <v>6</v>
      </c>
      <c r="D3" s="1" t="s">
        <v>9</v>
      </c>
      <c r="E3" s="3" t="str">
        <f>HYPERLINK("https://www.amazon.co.uk/Football-Activity-Book-Kids-Ultimate/dp/B0B3RQRPSF")</f>
        <v>https://www.amazon.co.uk/Football-Activity-Book-Kids-Ultimate/dp/B0B3RQRPSF</v>
      </c>
    </row>
    <row r="4">
      <c r="A4" s="1">
        <v>3.0</v>
      </c>
      <c r="B4" s="1" t="s">
        <v>10</v>
      </c>
      <c r="C4" s="2" t="s">
        <v>6</v>
      </c>
      <c r="D4" s="1" t="s">
        <v>11</v>
      </c>
      <c r="E4" s="3" t="str">
        <f>HYPERLINK("https://www.amazon.co.uk/Would-Rather-Football-Book-Kids/dp/B0FD7NXD1J")</f>
        <v>https://www.amazon.co.uk/Would-Rather-Football-Book-Kids/dp/B0FD7NXD1J</v>
      </c>
    </row>
    <row r="5">
      <c r="A5" s="1">
        <v>4.0</v>
      </c>
      <c r="B5" s="1" t="s">
        <v>12</v>
      </c>
      <c r="C5" s="2" t="s">
        <v>6</v>
      </c>
      <c r="D5" s="1" t="s">
        <v>13</v>
      </c>
      <c r="E5" s="3" t="str">
        <f>HYPERLINK("https://www.amazon.co.uk/Gymnastics-Activity-Book-Girls-Workbook/dp/B0D39FN337")</f>
        <v>https://www.amazon.co.uk/Gymnastics-Activity-Book-Girls-Workbook/dp/B0D39FN337</v>
      </c>
    </row>
    <row r="6">
      <c r="A6" s="1">
        <v>5.0</v>
      </c>
      <c r="B6" s="1" t="s">
        <v>14</v>
      </c>
      <c r="C6" s="2" t="s">
        <v>6</v>
      </c>
      <c r="D6" s="1" t="s">
        <v>15</v>
      </c>
      <c r="E6" s="3" t="str">
        <f>HYPERLINK("https://www.amazon.co.uk/Puzzle-Book-Smart-Kids-Ages/dp/B0B6XS3PZ9")</f>
        <v>https://www.amazon.co.uk/Puzzle-Book-Smart-Kids-Ages/dp/B0B6XS3PZ9</v>
      </c>
    </row>
    <row r="7">
      <c r="A7" s="1">
        <v>6.0</v>
      </c>
      <c r="B7" s="1" t="s">
        <v>16</v>
      </c>
      <c r="C7" s="2" t="s">
        <v>6</v>
      </c>
      <c r="D7" s="1" t="s">
        <v>17</v>
      </c>
      <c r="E7" s="3" t="str">
        <f>HYPERLINK("https://www.amazon.co.uk/Football-Word-Search-Book-Kids/dp/B0FPFX56XX")</f>
        <v>https://www.amazon.co.uk/Football-Word-Search-Book-Kids/dp/B0FPFX56XX</v>
      </c>
    </row>
    <row r="8">
      <c r="A8" s="1">
        <v>7.0</v>
      </c>
      <c r="B8" s="1" t="s">
        <v>18</v>
      </c>
      <c r="C8" s="2" t="s">
        <v>6</v>
      </c>
      <c r="D8" s="1" t="s">
        <v>19</v>
      </c>
      <c r="E8" s="3" t="str">
        <f>HYPERLINK("https://www.amazon.co.uk/Airplane-Activity-Book-Kids-Ages/dp/B09XLM4LDP")</f>
        <v>https://www.amazon.co.uk/Airplane-Activity-Book-Kids-Ages/dp/B09XLM4LDP</v>
      </c>
    </row>
    <row r="9">
      <c r="A9" s="1">
        <v>8.0</v>
      </c>
      <c r="B9" s="1" t="s">
        <v>20</v>
      </c>
      <c r="C9" s="2" t="s">
        <v>6</v>
      </c>
      <c r="D9" s="1" t="s">
        <v>21</v>
      </c>
      <c r="E9" s="3" t="str">
        <f>HYPERLINK("https://www.amazon.co.uk/Fashion-Activity-Book-Girls-Aged/dp/B0BCS7NJVZ")</f>
        <v>https://www.amazon.co.uk/Fashion-Activity-Book-Girls-Aged/dp/B0BCS7NJVZ</v>
      </c>
    </row>
    <row r="10">
      <c r="A10" s="1">
        <v>9.0</v>
      </c>
      <c r="B10" s="1" t="s">
        <v>22</v>
      </c>
      <c r="C10" s="2" t="s">
        <v>6</v>
      </c>
      <c r="D10" s="1" t="s">
        <v>23</v>
      </c>
      <c r="E10" s="3" t="str">
        <f>HYPERLINK("https://www.amazon.co.uk/Football-Activity-Book-Girls-Aged/dp/B0GQSMWN87")</f>
        <v>https://www.amazon.co.uk/Football-Activity-Book-Girls-Aged/dp/B0GQSMWN87</v>
      </c>
    </row>
    <row r="11">
      <c r="A11" s="1">
        <v>10.0</v>
      </c>
      <c r="B11" s="1" t="s">
        <v>24</v>
      </c>
      <c r="C11" s="2" t="s">
        <v>6</v>
      </c>
      <c r="D11" s="1" t="s">
        <v>25</v>
      </c>
      <c r="E11" s="3" t="str">
        <f>HYPERLINK("https://www.amazon.co.uk/Train-Activity-Book-Kids-Coloring/dp/B0CKHTYYX6")</f>
        <v>https://www.amazon.co.uk/Train-Activity-Book-Kids-Coloring/dp/B0CKHTYYX6</v>
      </c>
    </row>
    <row r="12">
      <c r="A12" s="1">
        <v>11.0</v>
      </c>
      <c r="B12" s="1" t="s">
        <v>26</v>
      </c>
      <c r="C12" s="2" t="s">
        <v>6</v>
      </c>
      <c r="D12" s="1" t="s">
        <v>27</v>
      </c>
      <c r="E12" s="3" t="str">
        <f>HYPERLINK("https://www.amazon.co.uk/London-Activity-Book-Kids-Ages/dp/B0DCZDBLNX")</f>
        <v>https://www.amazon.co.uk/London-Activity-Book-Kids-Ages/dp/B0DCZDBLNX</v>
      </c>
    </row>
    <row r="13">
      <c r="A13" s="1">
        <v>12.0</v>
      </c>
      <c r="B13" s="1" t="s">
        <v>28</v>
      </c>
      <c r="C13" s="2" t="s">
        <v>6</v>
      </c>
      <c r="D13" s="1" t="s">
        <v>29</v>
      </c>
      <c r="E13" s="3" t="str">
        <f>HYPERLINK("https://www.amazon.co.uk/Paris-Activity-Book-Kids-Crosswords/dp/B0F2824WBQ")</f>
        <v>https://www.amazon.co.uk/Paris-Activity-Book-Kids-Crosswords/dp/B0F2824WBQ</v>
      </c>
    </row>
    <row r="14">
      <c r="A14" s="1">
        <v>13.0</v>
      </c>
      <c r="B14" s="1" t="s">
        <v>30</v>
      </c>
      <c r="C14" s="2" t="s">
        <v>6</v>
      </c>
      <c r="D14" s="1" t="s">
        <v>31</v>
      </c>
      <c r="E14" s="3" t="str">
        <f>HYPERLINK("https://www.amazon.co.uk/Shark-Activity-Book-Kids-Activities/dp/B0CHLC1XR9")</f>
        <v>https://www.amazon.co.uk/Shark-Activity-Book-Kids-Activities/dp/B0CHLC1XR9</v>
      </c>
    </row>
    <row r="15">
      <c r="A15" s="1">
        <v>14.0</v>
      </c>
      <c r="B15" s="1" t="s">
        <v>32</v>
      </c>
      <c r="C15" s="2" t="s">
        <v>6</v>
      </c>
      <c r="D15" s="1" t="s">
        <v>33</v>
      </c>
      <c r="E15" s="3" t="str">
        <f>HYPERLINK("https://www.amazon.co.uk/Cricket-Activity-Book-Kids-6-8/dp/B09ZSD9CRC")</f>
        <v>https://www.amazon.co.uk/Cricket-Activity-Book-Kids-6-8/dp/B09ZSD9CRC</v>
      </c>
    </row>
    <row r="16">
      <c r="A16" s="1">
        <v>15.0</v>
      </c>
      <c r="B16" s="1" t="s">
        <v>34</v>
      </c>
      <c r="C16" s="2" t="s">
        <v>6</v>
      </c>
      <c r="D16" s="1" t="s">
        <v>35</v>
      </c>
      <c r="E16" s="3" t="str">
        <f>HYPERLINK("https://www.amazon.co.uk/Army-Activity-Book-Kids-Activities/dp/B0B7QDGZSN")</f>
        <v>https://www.amazon.co.uk/Army-Activity-Book-Kids-Activities/dp/B0B7QDGZSN</v>
      </c>
    </row>
    <row r="17">
      <c r="A17" s="1">
        <v>16.0</v>
      </c>
      <c r="B17" s="1" t="s">
        <v>36</v>
      </c>
      <c r="C17" s="2" t="s">
        <v>6</v>
      </c>
      <c r="D17" s="1" t="s">
        <v>37</v>
      </c>
      <c r="E17" s="3" t="str">
        <f>HYPERLINK("https://www.amazon.co.uk/Football-Activity-Book-Kids-Ages/dp/B0GH6CMKGJ")</f>
        <v>https://www.amazon.co.uk/Football-Activity-Book-Kids-Ages/dp/B0GH6CMKGJ</v>
      </c>
    </row>
    <row r="18">
      <c r="A18" s="1">
        <v>17.0</v>
      </c>
      <c r="B18" s="1" t="s">
        <v>38</v>
      </c>
      <c r="C18" s="2" t="s">
        <v>6</v>
      </c>
      <c r="D18" s="1" t="s">
        <v>39</v>
      </c>
      <c r="E18" s="3" t="str">
        <f>HYPERLINK("https://www.amazon.co.uk/Football-Boot-Designer-Colouring-Book/dp/B0H4GJL7P6")</f>
        <v>https://www.amazon.co.uk/Football-Boot-Designer-Colouring-Book/dp/B0H4GJL7P6</v>
      </c>
    </row>
    <row r="19">
      <c r="A19" s="1">
        <v>18.0</v>
      </c>
      <c r="B19" s="1" t="s">
        <v>40</v>
      </c>
      <c r="C19" s="2" t="s">
        <v>6</v>
      </c>
      <c r="D19" s="1" t="s">
        <v>41</v>
      </c>
      <c r="E19" s="3" t="str">
        <f>HYPERLINK("https://www.amazon.co.uk/Pirate-Activity-Book-Kids-Coloring/dp/B0CRVH8W8J")</f>
        <v>https://www.amazon.co.uk/Pirate-Activity-Book-Kids-Coloring/dp/B0CRVH8W8J</v>
      </c>
    </row>
    <row r="20">
      <c r="A20" s="1">
        <v>19.0</v>
      </c>
      <c r="B20" s="1" t="s">
        <v>42</v>
      </c>
      <c r="C20" s="2" t="s">
        <v>6</v>
      </c>
      <c r="D20" s="1" t="s">
        <v>43</v>
      </c>
      <c r="E20" s="3" t="str">
        <f>HYPERLINK("https://www.amazon.co.uk/Cruise-Activity-Book-Kids-Crosswords/dp/B0D8TMGR49")</f>
        <v>https://www.amazon.co.uk/Cruise-Activity-Book-Kids-Crosswords/dp/B0D8TMGR49</v>
      </c>
    </row>
    <row r="21">
      <c r="A21" s="1">
        <v>20.0</v>
      </c>
      <c r="B21" s="1" t="s">
        <v>44</v>
      </c>
      <c r="C21" s="2" t="s">
        <v>6</v>
      </c>
      <c r="D21" s="1" t="s">
        <v>45</v>
      </c>
      <c r="E21" s="3" t="str">
        <f>HYPERLINK("https://www.amazon.co.uk/Logic-Puzzle-Book-Kids-Ages/dp/B0FLVR28X6")</f>
        <v>https://www.amazon.co.uk/Logic-Puzzle-Book-Kids-Ages/dp/B0FLVR28X6</v>
      </c>
    </row>
    <row r="22">
      <c r="A22" s="1">
        <v>21.0</v>
      </c>
      <c r="B22" s="1" t="s">
        <v>46</v>
      </c>
      <c r="C22" s="2" t="s">
        <v>6</v>
      </c>
      <c r="D22" s="1" t="s">
        <v>47</v>
      </c>
      <c r="E22" s="3" t="str">
        <f>HYPERLINK("https://www.amazon.co.uk/Travel-Puzzle-Book-Kids-Crosswords/dp/B0CZHV6PKV")</f>
        <v>https://www.amazon.co.uk/Travel-Puzzle-Book-Kids-Crosswords/dp/B0CZHV6PKV</v>
      </c>
    </row>
    <row r="23">
      <c r="A23" s="1">
        <v>22.0</v>
      </c>
      <c r="B23" s="1" t="s">
        <v>48</v>
      </c>
      <c r="C23" s="2" t="s">
        <v>6</v>
      </c>
      <c r="D23" s="1" t="s">
        <v>49</v>
      </c>
      <c r="E23" s="3" t="str">
        <f>HYPERLINK("https://www.amazon.co.uk/Create-Your-Own-Football-Club/dp/B0CSXXF1H8")</f>
        <v>https://www.amazon.co.uk/Create-Your-Own-Football-Club/dp/B0CSXXF1H8</v>
      </c>
    </row>
    <row r="24">
      <c r="A24" s="1">
        <v>23.0</v>
      </c>
      <c r="B24" s="1" t="s">
        <v>50</v>
      </c>
      <c r="C24" s="2" t="s">
        <v>6</v>
      </c>
      <c r="D24" s="1" t="s">
        <v>51</v>
      </c>
      <c r="E24" s="3" t="str">
        <f>HYPERLINK("https://www.amazon.co.uk/Monster-Truck-Activity-Book-Crosswords/dp/B0CRHJS19J")</f>
        <v>https://www.amazon.co.uk/Monster-Truck-Activity-Book-Crosswords/dp/B0CRHJS19J</v>
      </c>
    </row>
    <row r="25">
      <c r="A25" s="1">
        <v>24.0</v>
      </c>
      <c r="B25" s="1" t="s">
        <v>52</v>
      </c>
      <c r="C25" s="2" t="s">
        <v>6</v>
      </c>
      <c r="D25" s="1" t="s">
        <v>53</v>
      </c>
      <c r="E25" s="3" t="str">
        <f>HYPERLINK("https://www.amazon.co.uk/Tennis-Activity-Book-Kids-Activities/dp/B0BRLR3CSK")</f>
        <v>https://www.amazon.co.uk/Tennis-Activity-Book-Kids-Activities/dp/B0BRLR3CSK</v>
      </c>
    </row>
    <row r="26">
      <c r="A26" s="1">
        <v>25.0</v>
      </c>
      <c r="B26" s="1" t="s">
        <v>54</v>
      </c>
      <c r="C26" s="2" t="s">
        <v>6</v>
      </c>
      <c r="D26" s="1" t="s">
        <v>55</v>
      </c>
      <c r="E26" s="3" t="str">
        <f>HYPERLINK("https://www.amazon.co.uk/Football-Quiz-Book-Boys-Ages/dp/B0DJFJ6L4H")</f>
        <v>https://www.amazon.co.uk/Football-Quiz-Book-Boys-Ages/dp/B0DJFJ6L4H</v>
      </c>
    </row>
    <row r="27">
      <c r="A27" s="1">
        <v>26.0</v>
      </c>
      <c r="B27" s="1" t="s">
        <v>56</v>
      </c>
      <c r="C27" s="2" t="s">
        <v>6</v>
      </c>
      <c r="D27" s="1" t="s">
        <v>57</v>
      </c>
      <c r="E27" s="3" t="str">
        <f>HYPERLINK("https://www.amazon.co.uk/Ancient-Egypt-Activity-Book-Kids/dp/B0FV95PW25")</f>
        <v>https://www.amazon.co.uk/Ancient-Egypt-Activity-Book-Kids/dp/B0FV95PW25</v>
      </c>
    </row>
    <row r="28">
      <c r="A28" s="1">
        <v>27.0</v>
      </c>
      <c r="B28" s="1" t="s">
        <v>58</v>
      </c>
      <c r="C28" s="2" t="s">
        <v>6</v>
      </c>
      <c r="D28" s="1" t="s">
        <v>59</v>
      </c>
      <c r="E28" s="3" t="str">
        <f>HYPERLINK("https://www.amazon.co.uk/Ballerina-Activity-Book-Kids-Ages/dp/B0B13Q1W71")</f>
        <v>https://www.amazon.co.uk/Ballerina-Activity-Book-Kids-Ages/dp/B0B13Q1W71</v>
      </c>
    </row>
    <row r="29">
      <c r="A29" s="1">
        <v>28.0</v>
      </c>
      <c r="B29" s="1" t="s">
        <v>60</v>
      </c>
      <c r="C29" s="2" t="s">
        <v>6</v>
      </c>
      <c r="D29" s="1" t="s">
        <v>61</v>
      </c>
      <c r="E29" s="3" t="str">
        <f>HYPERLINK("https://www.amazon.co.uk/Football-Puzzle-Book-Kids-Crosswords/dp/B0CY3DX2KY")</f>
        <v>https://www.amazon.co.uk/Football-Puzzle-Book-Kids-Crosswords/dp/B0CY3DX2KY</v>
      </c>
    </row>
    <row r="30">
      <c r="A30" s="1">
        <v>29.0</v>
      </c>
      <c r="B30" s="1" t="s">
        <v>62</v>
      </c>
      <c r="C30" s="2" t="s">
        <v>6</v>
      </c>
      <c r="D30" s="1" t="s">
        <v>63</v>
      </c>
      <c r="E30" s="3" t="str">
        <f>HYPERLINK("https://www.amazon.co.uk/Netball-Activity-Book-Kids-Activities/dp/B0BLG2Q25L")</f>
        <v>https://www.amazon.co.uk/Netball-Activity-Book-Kids-Activities/dp/B0BLG2Q25L</v>
      </c>
    </row>
    <row r="31">
      <c r="A31" s="1">
        <v>30.0</v>
      </c>
      <c r="B31" s="1" t="s">
        <v>64</v>
      </c>
      <c r="C31" s="2" t="s">
        <v>6</v>
      </c>
      <c r="D31" s="1" t="s">
        <v>65</v>
      </c>
      <c r="E31" s="3" t="str">
        <f>HYPERLINK("https://www.amazon.co.uk/Rugby-Activity-Book-Kids-Colouring/dp/B0BGBDWLCJ")</f>
        <v>https://www.amazon.co.uk/Rugby-Activity-Book-Kids-Colouring/dp/B0BGBDWLCJ</v>
      </c>
    </row>
    <row r="32">
      <c r="A32" s="1">
        <v>31.0</v>
      </c>
      <c r="B32" s="1" t="s">
        <v>66</v>
      </c>
      <c r="C32" s="2" t="s">
        <v>6</v>
      </c>
      <c r="D32" s="1" t="s">
        <v>67</v>
      </c>
      <c r="E32" s="3" t="str">
        <f>HYPERLINK("https://www.amazon.co.uk/New-York-Activity-Book-Kids/dp/B0DF5JP92H")</f>
        <v>https://www.amazon.co.uk/New-York-Activity-Book-Kids/dp/B0DF5JP92H</v>
      </c>
    </row>
    <row r="33">
      <c r="A33" s="1">
        <v>32.0</v>
      </c>
      <c r="B33" s="1" t="s">
        <v>68</v>
      </c>
      <c r="C33" s="2" t="s">
        <v>6</v>
      </c>
      <c r="D33" s="1" t="s">
        <v>69</v>
      </c>
      <c r="E33" s="3" t="str">
        <f>HYPERLINK("https://www.amazon.co.uk/Football-Crossword-Book-Kids-Ages/dp/B0DMLB5PDW")</f>
        <v>https://www.amazon.co.uk/Football-Crossword-Book-Kids-Ages/dp/B0DMLB5PDW</v>
      </c>
    </row>
    <row r="34">
      <c r="A34" s="1">
        <v>33.0</v>
      </c>
      <c r="B34" s="1" t="s">
        <v>70</v>
      </c>
      <c r="C34" s="2" t="s">
        <v>6</v>
      </c>
      <c r="D34" s="1" t="s">
        <v>71</v>
      </c>
      <c r="E34" s="3" t="str">
        <f>HYPERLINK("https://www.amazon.co.uk/Amazing-Football-Facts-Kids-Ages/dp/B0F6MMJ8WY")</f>
        <v>https://www.amazon.co.uk/Amazing-Football-Facts-Kids-Ages/dp/B0F6MMJ8WY</v>
      </c>
    </row>
    <row r="35">
      <c r="A35" s="1">
        <v>34.0</v>
      </c>
      <c r="B35" s="1" t="s">
        <v>72</v>
      </c>
      <c r="C35" s="2" t="s">
        <v>6</v>
      </c>
      <c r="D35" s="1" t="s">
        <v>73</v>
      </c>
      <c r="E35" s="3" t="str">
        <f>HYPERLINK("https://www.amazon.co.uk/Ninja-Activity-Book-Coloring-Activities/dp/B0CL6NFSFM")</f>
        <v>https://www.amazon.co.uk/Ninja-Activity-Book-Coloring-Activities/dp/B0CL6NFSFM</v>
      </c>
    </row>
    <row r="36">
      <c r="A36" s="1">
        <v>35.0</v>
      </c>
      <c r="B36" s="1" t="s">
        <v>74</v>
      </c>
      <c r="C36" s="2" t="s">
        <v>6</v>
      </c>
      <c r="D36" s="1" t="s">
        <v>75</v>
      </c>
      <c r="E36" s="3" t="str">
        <f>HYPERLINK("https://www.amazon.co.uk/Cheerleading-Activity-Book-Kids-Cheerleader/dp/B0BN7PTFGL")</f>
        <v>https://www.amazon.co.uk/Cheerleading-Activity-Book-Kids-Cheerleader/dp/B0BN7PTFGL</v>
      </c>
    </row>
    <row r="37">
      <c r="A37" s="1">
        <v>36.0</v>
      </c>
      <c r="B37" s="1" t="s">
        <v>76</v>
      </c>
      <c r="C37" s="2" t="s">
        <v>6</v>
      </c>
      <c r="D37" s="1" t="s">
        <v>77</v>
      </c>
      <c r="E37" s="3" t="str">
        <f>HYPERLINK("https://www.amazon.co.uk/Camping-Activity-Book-Kids-Activities/dp/B0B3K59ZLJ")</f>
        <v>https://www.amazon.co.uk/Camping-Activity-Book-Kids-Activities/dp/B0B3K59ZLJ</v>
      </c>
    </row>
    <row r="38">
      <c r="A38" s="1">
        <v>37.0</v>
      </c>
      <c r="B38" s="1" t="s">
        <v>78</v>
      </c>
      <c r="C38" s="2" t="s">
        <v>6</v>
      </c>
      <c r="D38" s="1" t="s">
        <v>79</v>
      </c>
      <c r="E38" s="3" t="str">
        <f>HYPERLINK("https://www.amazon.co.uk/Basketball-Activity-Book-Kids-Wordsearches/dp/B09VWMZLRT")</f>
        <v>https://www.amazon.co.uk/Basketball-Activity-Book-Kids-Wordsearches/dp/B09VWMZLRT</v>
      </c>
    </row>
    <row r="39">
      <c r="A39" s="1">
        <v>38.0</v>
      </c>
      <c r="B39" s="1" t="s">
        <v>80</v>
      </c>
      <c r="C39" s="2" t="s">
        <v>6</v>
      </c>
      <c r="D39" s="1" t="s">
        <v>81</v>
      </c>
      <c r="E39" s="3" t="str">
        <f>HYPERLINK("https://www.amazon.co.uk/Big-Sister-Activity-Book-Wordsearch/dp/B09TZ6Y8G1")</f>
        <v>https://www.amazon.co.uk/Big-Sister-Activity-Book-Wordsearch/dp/B09TZ6Y8G1</v>
      </c>
    </row>
    <row r="40">
      <c r="A40" s="1">
        <v>39.0</v>
      </c>
      <c r="B40" s="1" t="s">
        <v>82</v>
      </c>
      <c r="C40" s="2" t="s">
        <v>6</v>
      </c>
      <c r="D40" s="1" t="s">
        <v>83</v>
      </c>
      <c r="E40" s="3" t="str">
        <f>HYPERLINK("https://www.amazon.co.uk/Unicorn-Mermaid-Princess-Activity-Book/dp/B09XZMDXDH")</f>
        <v>https://www.amazon.co.uk/Unicorn-Mermaid-Princess-Activity-Book/dp/B09XZMDXDH</v>
      </c>
    </row>
    <row r="41">
      <c r="A41" s="1">
        <v>40.0</v>
      </c>
      <c r="B41" s="1" t="s">
        <v>84</v>
      </c>
      <c r="C41" s="2" t="s">
        <v>6</v>
      </c>
      <c r="D41" s="1" t="s">
        <v>85</v>
      </c>
      <c r="E41" s="3" t="str">
        <f>HYPERLINK("https://www.amazon.co.uk/Golf-Activity-Book-Kids-Ultimate/dp/B0B8RJQFMG")</f>
        <v>https://www.amazon.co.uk/Golf-Activity-Book-Kids-Ultimate/dp/B0B8RJQFMG</v>
      </c>
    </row>
    <row r="42">
      <c r="A42" s="1">
        <v>41.0</v>
      </c>
      <c r="B42" s="1" t="s">
        <v>86</v>
      </c>
      <c r="C42" s="2" t="s">
        <v>6</v>
      </c>
      <c r="D42" s="1" t="s">
        <v>87</v>
      </c>
      <c r="E42" s="3" t="str">
        <f>HYPERLINK("https://www.amazon.co.uk/Geography-Activity-Book-Kids-Activities/dp/B0B1DRQ1D4")</f>
        <v>https://www.amazon.co.uk/Geography-Activity-Book-Kids-Activities/dp/B0B1DRQ1D4</v>
      </c>
    </row>
    <row r="43">
      <c r="A43" s="1">
        <v>42.0</v>
      </c>
      <c r="B43" s="1" t="s">
        <v>88</v>
      </c>
      <c r="C43" s="2" t="s">
        <v>6</v>
      </c>
      <c r="D43" s="1" t="s">
        <v>89</v>
      </c>
      <c r="E43" s="3" t="str">
        <f>HYPERLINK("https://www.amazon.co.uk/Ocean-Animals-Activity-Book-Kids/dp/B0CVBMV6NL")</f>
        <v>https://www.amazon.co.uk/Ocean-Animals-Activity-Book-Kids/dp/B0CVBMV6NL</v>
      </c>
    </row>
    <row r="44">
      <c r="A44" s="1">
        <v>43.0</v>
      </c>
      <c r="B44" s="1" t="s">
        <v>90</v>
      </c>
      <c r="C44" s="2" t="s">
        <v>6</v>
      </c>
      <c r="D44" s="1" t="s">
        <v>91</v>
      </c>
      <c r="E44" s="3" t="str">
        <f>HYPERLINK("https://www.amazon.co.uk/Ultimate-Pocket-Size-Search-Adults/dp/B0CS6BWPL3")</f>
        <v>https://www.amazon.co.uk/Ultimate-Pocket-Size-Search-Adults/dp/B0CS6BWPL3</v>
      </c>
    </row>
    <row r="45">
      <c r="A45" s="1">
        <v>44.0</v>
      </c>
      <c r="B45" s="1" t="s">
        <v>92</v>
      </c>
      <c r="C45" s="2" t="s">
        <v>6</v>
      </c>
      <c r="D45" s="1" t="s">
        <v>93</v>
      </c>
      <c r="E45" s="3" t="str">
        <f>HYPERLINK("https://www.amazon.co.uk/Big-Brother-Activity-Book-Workbook/dp/B0B2KDF9YV")</f>
        <v>https://www.amazon.co.uk/Big-Brother-Activity-Book-Workbook/dp/B0B2KDF9YV</v>
      </c>
    </row>
    <row r="46">
      <c r="A46" s="1">
        <v>45.0</v>
      </c>
      <c r="B46" s="1" t="s">
        <v>94</v>
      </c>
      <c r="C46" s="2" t="s">
        <v>6</v>
      </c>
      <c r="D46" s="1" t="s">
        <v>95</v>
      </c>
      <c r="E46" s="3" t="str">
        <f>HYPERLINK("https://www.amazon.co.uk/Baseball-Activity-Book-Kids-Activities/dp/B09TYSS7KC")</f>
        <v>https://www.amazon.co.uk/Baseball-Activity-Book-Kids-Activities/dp/B09TYSS7KC</v>
      </c>
    </row>
    <row r="47">
      <c r="A47" s="1">
        <v>46.0</v>
      </c>
      <c r="B47" s="1" t="s">
        <v>96</v>
      </c>
      <c r="C47" s="2" t="s">
        <v>6</v>
      </c>
      <c r="D47" s="1" t="s">
        <v>97</v>
      </c>
      <c r="E47" s="3" t="str">
        <f>HYPERLINK("https://www.amazon.co.uk/Guess-Football-Player-Kids-Ages/dp/B0DTYLCQN6")</f>
        <v>https://www.amazon.co.uk/Guess-Football-Player-Kids-Ages/dp/B0DTYLCQN6</v>
      </c>
    </row>
    <row r="48">
      <c r="A48" s="1">
        <v>47.0</v>
      </c>
      <c r="B48" s="1" t="s">
        <v>98</v>
      </c>
      <c r="C48" s="2" t="s">
        <v>6</v>
      </c>
      <c r="D48" s="1" t="s">
        <v>99</v>
      </c>
      <c r="E48" s="3" t="str">
        <f>HYPERLINK("https://www.amazon.co.uk/Road-Trip-Activity-Book-Kids/dp/B0B5KQJN4H")</f>
        <v>https://www.amazon.co.uk/Road-Trip-Activity-Book-Kids/dp/B0B5KQJN4H</v>
      </c>
    </row>
    <row r="49">
      <c r="A49" s="1">
        <v>48.0</v>
      </c>
      <c r="B49" s="1" t="s">
        <v>100</v>
      </c>
      <c r="C49" s="2" t="s">
        <v>6</v>
      </c>
      <c r="D49" s="1" t="s">
        <v>101</v>
      </c>
      <c r="E49" s="3" t="str">
        <f>HYPERLINK("https://www.amazon.co.uk/Boxing-Activity-Book-Kids-Ultimate/dp/B0BS8N2MBZ")</f>
        <v>https://www.amazon.co.uk/Boxing-Activity-Book-Kids-Ultimate/dp/B0BS8N2MBZ</v>
      </c>
    </row>
    <row r="50">
      <c r="A50" s="1">
        <v>49.0</v>
      </c>
      <c r="B50" s="1" t="s">
        <v>102</v>
      </c>
      <c r="C50" s="2" t="s">
        <v>6</v>
      </c>
      <c r="D50" s="1" t="s">
        <v>103</v>
      </c>
      <c r="E50" s="3" t="str">
        <f>HYPERLINK("https://www.amazon.co.uk/Road-Trip-Activity-Book-Kids/dp/B0DNN6124Q")</f>
        <v>https://www.amazon.co.uk/Road-Trip-Activity-Book-Kids/dp/B0DNN6124Q</v>
      </c>
    </row>
    <row r="51">
      <c r="A51" s="1">
        <v>50.0</v>
      </c>
      <c r="B51" s="1" t="s">
        <v>104</v>
      </c>
      <c r="C51" s="2" t="s">
        <v>6</v>
      </c>
      <c r="D51" s="1" t="s">
        <v>105</v>
      </c>
      <c r="E51" s="3" t="str">
        <f>HYPERLINK("https://www.amazon.co.uk/Dinosaur-Activity-Book-Kids-3-5/dp/B0CP9HW1L9")</f>
        <v>https://www.amazon.co.uk/Dinosaur-Activity-Book-Kids-3-5/dp/B0CP9HW1L9</v>
      </c>
    </row>
    <row r="52">
      <c r="A52" s="1">
        <v>51.0</v>
      </c>
      <c r="B52" s="1" t="s">
        <v>106</v>
      </c>
      <c r="C52" s="2" t="s">
        <v>6</v>
      </c>
      <c r="D52" s="1" t="s">
        <v>107</v>
      </c>
      <c r="E52" s="3" t="str">
        <f>HYPERLINK("https://www.amazon.co.uk/Zoo-Activity-Book-Kids-Activities/dp/B0CGTSBJJX")</f>
        <v>https://www.amazon.co.uk/Zoo-Activity-Book-Kids-Activities/dp/B0CGTSBJJX</v>
      </c>
    </row>
    <row r="53">
      <c r="A53" s="1">
        <v>52.0</v>
      </c>
      <c r="B53" s="1" t="s">
        <v>108</v>
      </c>
      <c r="C53" s="2" t="s">
        <v>6</v>
      </c>
      <c r="D53" s="1" t="s">
        <v>109</v>
      </c>
      <c r="E53" s="3" t="str">
        <f>HYPERLINK("https://www.amazon.co.uk/Ancient-Egypt-Activity-Book-Kids/dp/B0BF2TND7R")</f>
        <v>https://www.amazon.co.uk/Ancient-Egypt-Activity-Book-Kids/dp/B0BF2TND7R</v>
      </c>
    </row>
    <row r="54">
      <c r="A54" s="1">
        <v>53.0</v>
      </c>
      <c r="B54" s="1" t="s">
        <v>110</v>
      </c>
      <c r="C54" s="2" t="s">
        <v>6</v>
      </c>
      <c r="D54" s="1" t="s">
        <v>111</v>
      </c>
      <c r="E54" s="3" t="str">
        <f>HYPERLINK("https://www.amazon.co.uk/Would-Rather-Book-Kids-Ages/dp/B0DKSZLBD5")</f>
        <v>https://www.amazon.co.uk/Would-Rather-Book-Kids-Ages/dp/B0DKSZLBD5</v>
      </c>
    </row>
    <row r="55">
      <c r="A55" s="1">
        <v>54.0</v>
      </c>
      <c r="B55" s="1" t="s">
        <v>112</v>
      </c>
      <c r="C55" s="2" t="s">
        <v>6</v>
      </c>
      <c r="D55" s="1" t="s">
        <v>113</v>
      </c>
      <c r="E55" s="3" t="str">
        <f>HYPERLINK("https://www.amazon.co.uk/Crossword-Puzzles-Kids-8-12-Educational/dp/B0CN67NJRX")</f>
        <v>https://www.amazon.co.uk/Crossword-Puzzles-Kids-8-12-Educational/dp/B0CN67NJRX</v>
      </c>
    </row>
    <row r="56">
      <c r="A56" s="1">
        <v>55.0</v>
      </c>
      <c r="B56" s="1" t="s">
        <v>114</v>
      </c>
      <c r="C56" s="2" t="s">
        <v>6</v>
      </c>
      <c r="D56" s="1" t="s">
        <v>115</v>
      </c>
      <c r="E56" s="3" t="str">
        <f>HYPERLINK("https://www.amazon.co.uk/Scissor-Skills-Activity-Book-Kids/dp/B09W1JG55G")</f>
        <v>https://www.amazon.co.uk/Scissor-Skills-Activity-Book-Kids/dp/B09W1JG55G</v>
      </c>
    </row>
    <row r="57">
      <c r="A57" s="1">
        <v>56.0</v>
      </c>
      <c r="B57" s="1" t="s">
        <v>116</v>
      </c>
      <c r="C57" s="2" t="s">
        <v>6</v>
      </c>
      <c r="D57" s="1" t="s">
        <v>117</v>
      </c>
      <c r="E57" s="3" t="str">
        <f>HYPERLINK("https://www.amazon.co.uk/Dinosaur-Marker-Activity-Book-Kids/dp/B0CT5K9GDQ")</f>
        <v>https://www.amazon.co.uk/Dinosaur-Marker-Activity-Book-Kids/dp/B0CT5K9GDQ</v>
      </c>
    </row>
    <row r="58">
      <c r="A58" s="1">
        <v>57.0</v>
      </c>
      <c r="B58" s="1" t="s">
        <v>118</v>
      </c>
      <c r="C58" s="2" t="s">
        <v>6</v>
      </c>
      <c r="D58" s="1" t="s">
        <v>119</v>
      </c>
      <c r="E58" s="3" t="str">
        <f>HYPERLINK("https://www.amazon.co.uk/Ice-Hockey-Activity-Book-Kids/dp/B09Y5XFQ85")</f>
        <v>https://www.amazon.co.uk/Ice-Hockey-Activity-Book-Kids/dp/B09Y5XFQ85</v>
      </c>
    </row>
    <row r="59">
      <c r="A59" s="1">
        <v>58.0</v>
      </c>
      <c r="B59" s="1" t="s">
        <v>120</v>
      </c>
      <c r="C59" s="2" t="s">
        <v>6</v>
      </c>
      <c r="D59" s="1" t="s">
        <v>121</v>
      </c>
      <c r="E59" s="3" t="str">
        <f>HYPERLINK("https://www.amazon.co.uk/Football-Activity-Book-Kids-Aged/dp/B09TF6N581")</f>
        <v>https://www.amazon.co.uk/Football-Activity-Book-Kids-Aged/dp/B09TF6N581</v>
      </c>
    </row>
    <row r="60">
      <c r="A60" s="1">
        <v>59.0</v>
      </c>
      <c r="B60" s="1" t="s">
        <v>122</v>
      </c>
      <c r="C60" s="2" t="s">
        <v>6</v>
      </c>
      <c r="D60" s="1" t="s">
        <v>123</v>
      </c>
      <c r="E60" s="3" t="str">
        <f>HYPERLINK("https://www.amazon.co.uk/Trace-Color-Book-Toddlers-ThingsThat/dp/B0B4QT9FVQ")</f>
        <v>https://www.amazon.co.uk/Trace-Color-Book-Toddlers-ThingsThat/dp/B0B4QT9FVQ</v>
      </c>
    </row>
    <row r="61">
      <c r="A61" s="1">
        <v>60.0</v>
      </c>
      <c r="B61" s="1" t="s">
        <v>124</v>
      </c>
      <c r="C61" s="2" t="s">
        <v>6</v>
      </c>
      <c r="D61" s="1" t="s">
        <v>125</v>
      </c>
      <c r="E61" s="3" t="str">
        <f>HYPERLINK("https://www.amazon.co.uk/London-Activity-Book-Kids-Christmas/dp/B0BB618YT4")</f>
        <v>https://www.amazon.co.uk/London-Activity-Book-Kids-Christmas/dp/B0BB618YT4</v>
      </c>
    </row>
    <row r="62">
      <c r="A62" s="1">
        <v>61.0</v>
      </c>
      <c r="B62" s="1" t="s">
        <v>126</v>
      </c>
      <c r="C62" s="2" t="s">
        <v>6</v>
      </c>
      <c r="D62" s="1" t="s">
        <v>127</v>
      </c>
      <c r="E62" s="3" t="str">
        <f>HYPERLINK("https://www.amazon.co.uk/Football-Activity-Book-Kids-Workbook/dp/B0BJN5D53R")</f>
        <v>https://www.amazon.co.uk/Football-Activity-Book-Kids-Workbook/dp/B0BJN5D53R</v>
      </c>
    </row>
    <row r="63">
      <c r="A63" s="1">
        <v>62.0</v>
      </c>
      <c r="B63" s="1" t="s">
        <v>128</v>
      </c>
      <c r="C63" s="2" t="s">
        <v>6</v>
      </c>
      <c r="D63" s="1" t="s">
        <v>129</v>
      </c>
      <c r="E63" s="3" t="str">
        <f>HYPERLINK("https://www.amazon.co.uk/Maze-Activity-Book-Kids-Dinosaur/dp/B0D5MR9FFG")</f>
        <v>https://www.amazon.co.uk/Maze-Activity-Book-Kids-Dinosaur/dp/B0D5MR9FFG</v>
      </c>
    </row>
    <row r="64">
      <c r="A64" s="1">
        <v>63.0</v>
      </c>
      <c r="B64" s="1" t="s">
        <v>130</v>
      </c>
      <c r="C64" s="2" t="s">
        <v>6</v>
      </c>
      <c r="D64" s="1" t="s">
        <v>131</v>
      </c>
      <c r="E64" s="3" t="str">
        <f>HYPERLINK("https://www.amazon.co.uk/Sudoku-Kids-Perfect-Puzzles-Medium/dp/B0CKXNZDXF")</f>
        <v>https://www.amazon.co.uk/Sudoku-Kids-Perfect-Puzzles-Medium/dp/B0CKXNZDXF</v>
      </c>
    </row>
    <row r="65">
      <c r="A65" s="1">
        <v>64.0</v>
      </c>
      <c r="B65" s="1" t="s">
        <v>132</v>
      </c>
      <c r="C65" s="2" t="s">
        <v>6</v>
      </c>
      <c r="D65" s="1" t="s">
        <v>133</v>
      </c>
      <c r="E65" s="3" t="str">
        <f>HYPERLINK("https://www.amazon.co.uk/Space-Activity-Book-Kids-Ages/dp/B09ZCWZZTS")</f>
        <v>https://www.amazon.co.uk/Space-Activity-Book-Kids-Ages/dp/B09ZCWZZTS</v>
      </c>
    </row>
    <row r="66">
      <c r="A66" s="1">
        <v>65.0</v>
      </c>
      <c r="B66" s="1" t="s">
        <v>134</v>
      </c>
      <c r="C66" s="2" t="s">
        <v>6</v>
      </c>
      <c r="D66" s="1" t="s">
        <v>135</v>
      </c>
      <c r="E66" s="3" t="str">
        <f>HYPERLINK("https://www.amazon.co.uk/London-Activity-Book-Kids-Colouring/dp/B09TN45HFH")</f>
        <v>https://www.amazon.co.uk/London-Activity-Book-Kids-Colouring/dp/B09TN45HFH</v>
      </c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rawing r:id="rId1"/>
</worksheet>
</file>